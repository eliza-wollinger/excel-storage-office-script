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2086" documentId="11_0B1D56BE9CDCCE836B02CE7A5FB0D4A9BBFD1C62" xr6:coauthVersionLast="47" xr6:coauthVersionMax="47" xr10:uidLastSave="{FF23545A-3B30-4523-935E-D60390536E5E}"/>
  <bookViews>
    <workbookView xWindow="240" yWindow="105" windowWidth="14805" windowHeight="8010" firstSheet="4" activeTab="8" xr2:uid="{00000000-000D-0000-FFFF-FFFF00000000}"/>
  </bookViews>
  <sheets>
    <sheet name="DADOS" sheetId="2" r:id="rId1"/>
    <sheet name="INSTRUÇÕES" sheetId="7" r:id="rId2"/>
    <sheet name="ENTRADAS" sheetId="3" r:id="rId3"/>
    <sheet name="RETIRADAS" sheetId="4" r:id="rId4"/>
    <sheet name="HISTÓRICO" sheetId="6" r:id="rId5"/>
    <sheet name="ESTOQUE" sheetId="1" r:id="rId6"/>
    <sheet name="BOTAS" sheetId="5" r:id="rId7"/>
    <sheet name="UNIFORME" sheetId="9" r:id="rId8"/>
    <sheet name="COLABORADOR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G6" i="5"/>
  <c r="G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tc={B3716E77-A9E7-4125-A858-BFA8749A7E2E}</author>
  </authors>
  <commentList>
    <comment ref="B4" authorId="0" shapeId="0" xr:uid="{B3716E77-A9E7-4125-A858-BFA8749A7E2E}">
      <text>
        <t>[Threaded comment]
Your version of Excel allows you to read this threaded comment; however, any edits to it will get removed if the file is opened in a newer version of Excel. Learn more: https://go.microsoft.com/fwlink/?linkid=870924
Comment:
    Criar uma rotina em Power Automate onde todo último dia útil do mês execute um código para estratificar os dados de entrada e saída.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tc={744CF470-8DC3-4230-A1ED-06C0331C69EE}</author>
    <author>tc={B0340126-325A-49DA-8365-8F53FBF2C4B4}</author>
    <author>tc={05A21691-FBBE-4932-8705-2AE9274A1435}</author>
  </authors>
  <commentList>
    <comment ref="C4" authorId="0" shapeId="0" xr:uid="{744CF470-8DC3-4230-A1ED-06C0331C69EE}">
      <text>
        <t>[Threaded comment]
Your version of Excel allows you to read this threaded comment; however, any edits to it will get removed if the file is opened in a newer version of Excel. Learn more: https://go.microsoft.com/fwlink/?linkid=870924
Comment:
    Descrição pode ser gerada a partir da tabela de entradas e saídas.
Reply:
    Necessário analisar como será a inserção dos dados na tabela de entradas e saídas.</t>
      </text>
    </comment>
    <comment ref="J4" authorId="1" shapeId="0" xr:uid="{B0340126-325A-49DA-8365-8F53FBF2C4B4}">
      <text>
        <t>[Threaded comment]
Your version of Excel allows you to read this threaded comment; however, any edits to it will get removed if the file is opened in a newer version of Excel. Learn more: https://go.microsoft.com/fwlink/?linkid=870924
Comment:
    Qnd. mínima pode ser por exemplo uma soma de todos os funcionários cadastrados com aquele número de sapato.
A ideia é avisar quando estiver chegando próximo ao valor da quantidade mínima.</t>
      </text>
    </comment>
    <comment ref="K4" authorId="2" shapeId="0" xr:uid="{05A21691-FBBE-4932-8705-2AE9274A14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Próximo pedido vai identificar pedidos abaixo da quantidade mínima para enviar ao setor de Compras
Reply:
    Imagino que um envio quinzenal ou mensal com esses dados já seja o suficiente.</t>
      </text>
    </comment>
  </commentList>
</comments>
</file>

<file path=xl/sharedStrings.xml><?xml version="1.0" encoding="utf-8"?>
<sst xmlns="http://schemas.openxmlformats.org/spreadsheetml/2006/main" count="230" uniqueCount="130">
  <si>
    <t>DADOS</t>
  </si>
  <si>
    <t>Categoria</t>
  </si>
  <si>
    <t>Tipo</t>
  </si>
  <si>
    <t>Status</t>
  </si>
  <si>
    <t>EPI</t>
  </si>
  <si>
    <t>Perecível</t>
  </si>
  <si>
    <t>Entregue</t>
  </si>
  <si>
    <t>EPI Calçado</t>
  </si>
  <si>
    <t>Com validade</t>
  </si>
  <si>
    <t>Pendente</t>
  </si>
  <si>
    <t>EPI Uniforme</t>
  </si>
  <si>
    <t>Permanente</t>
  </si>
  <si>
    <t>Devolvido</t>
  </si>
  <si>
    <t>Ferramenta</t>
  </si>
  <si>
    <t>Processo Compra</t>
  </si>
  <si>
    <t>Uniforme</t>
  </si>
  <si>
    <t>Próx. Vencimento</t>
  </si>
  <si>
    <t>Vencido</t>
  </si>
  <si>
    <t>INSTRUÇÕES SISTEMA ESTOQUE</t>
  </si>
  <si>
    <t>Atualizado em: 31/10/2025</t>
  </si>
  <si>
    <t>Portal de Dados Abertos</t>
  </si>
  <si>
    <t>O arquivo contém 7 abas organizadas da seguinte forma:</t>
  </si>
  <si>
    <t>ABA</t>
  </si>
  <si>
    <t>FUNÇÃO</t>
  </si>
  <si>
    <t>Instruções</t>
  </si>
  <si>
    <t>Descreve o funcionamento geral do sistema.</t>
  </si>
  <si>
    <t>Dados</t>
  </si>
  <si>
    <t>Contém informações auxiliares usadas pelos scripts e validações.</t>
  </si>
  <si>
    <t>Entradas</t>
  </si>
  <si>
    <t>Registre aqui todos os itens que entram no estoque, com data, descrição, tamanho, quantidade, etc.</t>
  </si>
  <si>
    <t>Retiradas</t>
  </si>
  <si>
    <t>Registre aqui todas as saídas de produtos, informando a data, o responsável e a quantidade retirada.</t>
  </si>
  <si>
    <t>Histórico</t>
  </si>
  <si>
    <t>Monitora o movimento consolidado por mês, unindo as entradas e retiradas (gerado automaticamente via script).</t>
  </si>
  <si>
    <t>Estoque</t>
  </si>
  <si>
    <t>Exibe o estoque atual, considerando todas as entradas e retiradas (gerado automaticamente via script).</t>
  </si>
  <si>
    <t>Botas</t>
  </si>
  <si>
    <t>Controle específico para Botas de EPI, com acompanhamento de trocas a cada 6 meses.</t>
  </si>
  <si>
    <t>Controle específico para itens de Uniforme, que possuam CA e necessário acompanhamento para trocas.</t>
  </si>
  <si>
    <t>Colaborador</t>
  </si>
  <si>
    <t>Controle de itens por colaborador.</t>
  </si>
  <si>
    <t>FLUXO DE USO</t>
  </si>
  <si>
    <t>1. REGISTRAR MOVIMENTAÇÕES</t>
  </si>
  <si>
    <r>
      <rPr>
        <sz val="11"/>
        <color rgb="FF000000"/>
        <rFont val="Aptos Narrow"/>
        <scheme val="minor"/>
      </rPr>
      <t xml:space="preserve">Preencha as abas </t>
    </r>
    <r>
      <rPr>
        <i/>
        <sz val="11"/>
        <color rgb="FF000000"/>
        <rFont val="Aptos Narrow"/>
        <scheme val="minor"/>
      </rPr>
      <t>entradas</t>
    </r>
    <r>
      <rPr>
        <sz val="11"/>
        <color rgb="FF000000"/>
        <rFont val="Aptos Narrow"/>
        <scheme val="minor"/>
      </rPr>
      <t xml:space="preserve"> e </t>
    </r>
    <r>
      <rPr>
        <i/>
        <sz val="11"/>
        <color rgb="FF000000"/>
        <rFont val="Aptos Narrow"/>
        <scheme val="minor"/>
      </rPr>
      <t>retiradas</t>
    </r>
    <r>
      <rPr>
        <sz val="11"/>
        <color rgb="FF000000"/>
        <rFont val="Aptos Narrow"/>
        <scheme val="minor"/>
      </rPr>
      <t xml:space="preserve"> conforme forem acontecendo.</t>
    </r>
  </si>
  <si>
    <r>
      <rPr>
        <sz val="11"/>
        <color rgb="FF000000"/>
        <rFont val="Aptos Narrow"/>
        <scheme val="minor"/>
      </rPr>
      <t xml:space="preserve">Use sempre </t>
    </r>
    <r>
      <rPr>
        <i/>
        <sz val="11"/>
        <color rgb="FF000000"/>
        <rFont val="Aptos Narrow"/>
        <scheme val="minor"/>
      </rPr>
      <t>as mesmas descrições e tamanhos</t>
    </r>
    <r>
      <rPr>
        <sz val="11"/>
        <color rgb="FF000000"/>
        <rFont val="Aptos Narrow"/>
        <scheme val="minor"/>
      </rPr>
      <t xml:space="preserve"> para permitir a consolidação correta.</t>
    </r>
  </si>
  <si>
    <t>2. ATUALIZAR O ESTOQUE ATUAL</t>
  </si>
  <si>
    <r>
      <rPr>
        <sz val="11"/>
        <color rgb="FF000000"/>
        <rFont val="Aptos Narrow"/>
        <scheme val="minor"/>
      </rPr>
      <t xml:space="preserve">Execute o script </t>
    </r>
    <r>
      <rPr>
        <i/>
        <sz val="11"/>
        <color rgb="FF000000"/>
        <rFont val="Aptos Narrow"/>
        <scheme val="minor"/>
      </rPr>
      <t>Estoque.os</t>
    </r>
    <r>
      <rPr>
        <sz val="11"/>
        <color rgb="FF000000"/>
        <rFont val="Aptos Narrow"/>
        <scheme val="minor"/>
      </rPr>
      <t>t</t>
    </r>
  </si>
  <si>
    <t xml:space="preserve">          Ele cria/atualiza a aba estoque, somando as entradas e subtraindo as retiradas.</t>
  </si>
  <si>
    <t xml:space="preserve">          Itens com a mesma descrição e tamanho são agrupados automaticamente.</t>
  </si>
  <si>
    <t>3. GERAR O HISTÓRICO MENSAL</t>
  </si>
  <si>
    <r>
      <rPr>
        <sz val="11"/>
        <color rgb="FF000000"/>
        <rFont val="Aptos Narrow"/>
      </rPr>
      <t xml:space="preserve">Execute o script </t>
    </r>
    <r>
      <rPr>
        <i/>
        <sz val="11"/>
        <color rgb="FF000000"/>
        <rFont val="Aptos Narrow"/>
      </rPr>
      <t>HistoricoEstoque.ost</t>
    </r>
  </si>
  <si>
    <t xml:space="preserve">          Ele combina as informações de entrada e retirada de cada mês, exibindo um resumo consolidado.</t>
  </si>
  <si>
    <t xml:space="preserve">          Ideal para relatórios e acompanhamento de consumo.</t>
  </si>
  <si>
    <t>4. CONTROLE DE BOTAS DE EPI</t>
  </si>
  <si>
    <r>
      <rPr>
        <sz val="11"/>
        <color rgb="FF000000"/>
        <rFont val="Aptos Narrow"/>
        <scheme val="minor"/>
      </rPr>
      <t xml:space="preserve">Execute o script </t>
    </r>
    <r>
      <rPr>
        <i/>
        <sz val="11"/>
        <color rgb="FF000000"/>
        <rFont val="Aptos Narrow"/>
        <scheme val="minor"/>
      </rPr>
      <t>MonitoramentoBotas.ost</t>
    </r>
  </si>
  <si>
    <t xml:space="preserve">          Ele identifica as entradas registradas e as saidas, calculando a data prevista de troca.</t>
  </si>
  <si>
    <t xml:space="preserve">          Fluxo base para alertas de botas a vencer.</t>
  </si>
  <si>
    <t>REGRAS E RECOMENDAÇÕES</t>
  </si>
  <si>
    <t>- Não altere fórmulas ou intervalos automáticos.</t>
  </si>
  <si>
    <t>- Mantenha nomes de produtos padronizados para evitar duplicidades.</t>
  </si>
  <si>
    <t>- A aba dados contém listas e parâmetros utilizados nos menus suspensos.</t>
  </si>
  <si>
    <t>- Antes de executar qualquer script, salve ou duplique o arquivo para evitar perda de informações</t>
  </si>
  <si>
    <t>- É possível confiugurar os scripts para rodar automaticamente ao abrir o arquivo, caso desejado.</t>
  </si>
  <si>
    <t>DICA</t>
  </si>
  <si>
    <t>Se quiser adicionar novos tipos de EPI (como luvas, capacetes, óculos), basta criar novas</t>
  </si>
  <si>
    <t>abas específicas baseadas no modelo de botas, alterando apenas o script de controle.</t>
  </si>
  <si>
    <t>- Se for fazer, duplique o script de controle.</t>
  </si>
  <si>
    <t>ENTRADAS</t>
  </si>
  <si>
    <t>Data última entrada:</t>
  </si>
  <si>
    <t>Data Entrada</t>
  </si>
  <si>
    <t>CA</t>
  </si>
  <si>
    <t>Descrição</t>
  </si>
  <si>
    <t>Quantidade</t>
  </si>
  <si>
    <t>Tamanho (se aplicável)</t>
  </si>
  <si>
    <t>Valor Unitário (R$)</t>
  </si>
  <si>
    <t>Fornecedor</t>
  </si>
  <si>
    <t>Nota Fiscal</t>
  </si>
  <si>
    <t>Responsável pela Entrada</t>
  </si>
  <si>
    <t>Observações</t>
  </si>
  <si>
    <t>01/09/2025</t>
  </si>
  <si>
    <t>Bota A</t>
  </si>
  <si>
    <t>EPI Master</t>
  </si>
  <si>
    <t>Nome</t>
  </si>
  <si>
    <t>06/09/2025</t>
  </si>
  <si>
    <t>10/09/2025</t>
  </si>
  <si>
    <t>Bota B</t>
  </si>
  <si>
    <t>04/11/2025</t>
  </si>
  <si>
    <t>Luva</t>
  </si>
  <si>
    <t>RETIRADAS</t>
  </si>
  <si>
    <t>Data última retirada:</t>
  </si>
  <si>
    <t>Data Retirada</t>
  </si>
  <si>
    <t>Qntd.</t>
  </si>
  <si>
    <t>Funcionário Responsável</t>
  </si>
  <si>
    <t>Setor/Destino</t>
  </si>
  <si>
    <t>Ordem de Serviço</t>
  </si>
  <si>
    <t>Solicitante da Retirada</t>
  </si>
  <si>
    <t>Responsável pela Retirada</t>
  </si>
  <si>
    <t>Data Entrega</t>
  </si>
  <si>
    <t>Data Devolução</t>
  </si>
  <si>
    <t>Func1</t>
  </si>
  <si>
    <t>Volvo</t>
  </si>
  <si>
    <t>Teste1</t>
  </si>
  <si>
    <t>Teste2</t>
  </si>
  <si>
    <t>24/09/2025</t>
  </si>
  <si>
    <t>16/09/2025</t>
  </si>
  <si>
    <t>Func2</t>
  </si>
  <si>
    <t>23/09/2025</t>
  </si>
  <si>
    <t>Func3</t>
  </si>
  <si>
    <t>HISTÓRICO</t>
  </si>
  <si>
    <t>Data atualização:</t>
  </si>
  <si>
    <t>Tamanho</t>
  </si>
  <si>
    <t>30/09/2025</t>
  </si>
  <si>
    <t>30/11/2025</t>
  </si>
  <si>
    <t>-</t>
  </si>
  <si>
    <t>Saídas</t>
  </si>
  <si>
    <t>Saldo</t>
  </si>
  <si>
    <t>ESTOQUE ATUAL</t>
  </si>
  <si>
    <t>Unidade</t>
  </si>
  <si>
    <t>Qtd. Mínima</t>
  </si>
  <si>
    <t>Próx. Pedido</t>
  </si>
  <si>
    <t>Un</t>
  </si>
  <si>
    <t>MONITORAMENTO DE BOTAS</t>
  </si>
  <si>
    <t>Funcionário</t>
  </si>
  <si>
    <t>Cód.</t>
  </si>
  <si>
    <t>Data Troca</t>
  </si>
  <si>
    <t>MONITORAMENTO DE UNIFORME</t>
  </si>
  <si>
    <t>Em construção</t>
  </si>
  <si>
    <t>CONTROLE COLABORADOR</t>
  </si>
  <si>
    <t>Admissão</t>
  </si>
  <si>
    <t>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</si>
</sst>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3">
    <font>
      <sz val="11"/>
      <color theme="1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sz val="11"/>
      <color rgb="FF000000"/>
      <name val="Aptos Narrow"/>
    </font>
    <font>
      <i/>
      <sz val="11"/>
      <color rgb="FF000000"/>
      <name val="Aptos Narrow"/>
    </font>
    <font>
      <u/>
      <sz val="11"/>
      <color theme="1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57575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/>
    <xf numFmtId="0" fontId="5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/>
    <xf numFmtId="0" fontId="8" fillId="0" borderId="0" xfId="0" applyFont="1"/>
    <xf numFmtId="14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2" fontId="0" fillId="0" borderId="0" xfId="0" applyNumberFormat="1"/>
    <xf numFmtId="164" fontId="0" fillId="0" borderId="0" xfId="0" applyNumberFormat="1"/>
    <xf numFmtId="0" fontId="5" fillId="5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10" fillId="0" borderId="0" xfId="0" applyFont="1"/>
    <xf numFmtId="0" fontId="0" fillId="0" borderId="2" xfId="0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0" fontId="12" fillId="0" borderId="0" xfId="1"/>
    <xf numFmtId="0" fontId="7" fillId="4" borderId="1" xfId="0" quotePrefix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/>
    <xf numFmtId="14" fontId="0" fillId="0" borderId="0" xfId="0" applyNumberForma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/>
      </font>
      <fill>
        <patternFill patternType="solid">
          <bgColor theme="4" tint="0.79998168889431442"/>
        </patternFill>
      </fill>
    </dxf>
    <dxf>
      <font>
        <color theme="4"/>
      </font>
      <fill>
        <patternFill patternType="solid"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69696"/>
      <color rgb="FF757575"/>
      <color rgb="FF9494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0</xdr:row>
      <xdr:rowOff>85725</xdr:rowOff>
    </xdr:from>
    <xdr:to>
      <xdr:col>5</xdr:col>
      <xdr:colOff>0</xdr:colOff>
      <xdr:row>2</xdr:row>
      <xdr:rowOff>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84CDB004-E38F-401E-8EEF-BE1C59E0EF45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Zm9ubGluZS1teS5zaGFyZXBvaW50LmNvbS86dTovZy9wZXJzb25hbC9lbGl6YV93b2xsaW5nZXJfYWZyeV9jb20vRVQ4bzZaQzBXX0pDZ1NmRktrNTktSFFCd1JoYnhLLTdqN2tMVk9jUHgxMjM5dw&quot;}"/>
            </a:ext>
          </a:extLst>
        </xdr:cNvPr>
        <xdr:cNvSpPr/>
      </xdr:nvSpPr>
      <xdr:spPr>
        <a:xfrm>
          <a:off x="2962275" y="85725"/>
          <a:ext cx="714375" cy="295275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Atualizar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47625</xdr:rowOff>
    </xdr:from>
    <xdr:to>
      <xdr:col>4</xdr:col>
      <xdr:colOff>819150</xdr:colOff>
      <xdr:row>1</xdr:row>
      <xdr:rowOff>152400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732275D0-6EC6-44A3-B43B-B5258973DBDE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Zm9ubGluZS1teS5zaGFyZXBvaW50LmNvbS86dTovZy9wZXJzb25hbC9lbGl6YV93b2xsaW5nZXJfYWZyeV9jb20vRVlQd0QyMXRGMDlDaGVRUnhjbm1BQzhCNXlzMmtyMW5BdHo5XzlVMU9nbjlZZw&quot;}"/>
            </a:ext>
          </a:extLst>
        </xdr:cNvPr>
        <xdr:cNvSpPr/>
      </xdr:nvSpPr>
      <xdr:spPr>
        <a:xfrm>
          <a:off x="2990850" y="47625"/>
          <a:ext cx="781050" cy="295275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dk1"/>
              </a:solidFill>
              <a:latin typeface="Aptos Narrow" panose="020B0004020202020204" pitchFamily="34" charset="0"/>
            </a:rPr>
            <a:t>Atualizar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57150</xdr:rowOff>
    </xdr:from>
    <xdr:to>
      <xdr:col>4</xdr:col>
      <xdr:colOff>809625</xdr:colOff>
      <xdr:row>1</xdr:row>
      <xdr:rowOff>161925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5916161-D144-4A5B-AEF0-94A88D815BBB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Zm9ubGluZS1teS5zaGFyZXBvaW50LmNvbS86dTovZy9wZXJzb25hbC9lbGl6YV93b2xsaW5nZXJfYWZyeV9jb20vRVIzVU9tNGwtTzVEakNGS1lQc3AwM01CRVpPcUVFLUdSTnVLejktNmM0SkFuUQ&quot;}"/>
            </a:ext>
          </a:extLst>
        </xdr:cNvPr>
        <xdr:cNvSpPr/>
      </xdr:nvSpPr>
      <xdr:spPr>
        <a:xfrm>
          <a:off x="2686050" y="57150"/>
          <a:ext cx="819150" cy="295275"/>
        </a:xfrm>
        <a:prstGeom prst="round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rgbClr val="000000"/>
              </a:solidFill>
              <a:latin typeface="Aptos Narrow" panose="020B0004020202020204" pitchFamily="34" charset="0"/>
            </a:rPr>
            <a:t>Atualizar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iza Wollinger" id="{A7E2DB9D-8ED4-4B89-B4A3-076E957A3D05}" userId="S::eliza.wollinger@afry.com::689225eb-f460-4ae6-878a-e73de56d85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" dT="2025-10-27T18:11:34.02" personId="{A7E2DB9D-8ED4-4B89-B4A3-076E957A3D05}" id="{B3716E77-A9E7-4125-A858-BFA8749A7E2E}">
    <text>Criar uma rotina em Power Automate onde todo último dia útil do mês execute um código para estratificar os dados de entrada e saída.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5-10-21T16:48:37.17" personId="{A7E2DB9D-8ED4-4B89-B4A3-076E957A3D05}" id="{744CF470-8DC3-4230-A1ED-06C0331C69EE}">
    <text>Descrição pode ser gerada a partir da tabela de entradas e saídas.</text>
  </threadedComment>
  <threadedComment ref="C4" dT="2025-10-21T16:48:49.53" personId="{A7E2DB9D-8ED4-4B89-B4A3-076E957A3D05}" id="{ED80A4FC-11A1-4B2E-AF79-C16AF58CC241}" parentId="{744CF470-8DC3-4230-A1ED-06C0331C69EE}">
    <text>Necessário analisar como será a inserção dos dados na tabela de entradas e saídas.</text>
  </threadedComment>
  <threadedComment ref="J4" dT="2025-10-21T16:46:32.56" personId="{A7E2DB9D-8ED4-4B89-B4A3-076E957A3D05}" id="{B0340126-325A-49DA-8365-8F53FBF2C4B4}">
    <text>Qnd. mínima pode ser por exemplo uma soma de todos os funcionários cadastrados com aquele número de sapato.
A ideia é avisar quando estiver chegando próximo ao valor da quantidade mínima.</text>
  </threadedComment>
  <threadedComment ref="K4" dT="2025-11-04T14:05:26.85" personId="{A7E2DB9D-8ED4-4B89-B4A3-076E957A3D05}" id="{05A21691-FBBE-4932-8705-2AE9274A1435}">
    <text>Próximo pedido vai identificar pedidos abaixo da quantidade mínima para enviar ao setor de Compras</text>
  </threadedComment>
  <threadedComment ref="K4" dT="2025-11-04T14:05:55.92" personId="{A7E2DB9D-8ED4-4B89-B4A3-076E957A3D05}" id="{42FCDDED-94B8-4E7E-973F-9551BF02F58A}" parentId="{05A21691-FBBE-4932-8705-2AE9274A1435}">
    <text>Imagino que um envio quinzenal ou mensal com esses dados já seja o suficiente.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ados.gov.br/dados/conjuntos-dados/cadastro-de-equipamento-de-protecao-individua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355A-469E-4536-91E2-01078B608833}">
  <dimension ref="B1:F9"/>
  <sheetViews>
    <sheetView showGridLines="0" workbookViewId="0">
      <selection activeCell="H12" sqref="H12"/>
    </sheetView>
  </sheetViews>
  <sheetFormatPr defaultRowHeight="15"/>
  <cols>
    <col min="1" max="1" width="4.28515625" customWidth="1"/>
    <col min="2" max="2" width="21.140625" bestFit="1" customWidth="1"/>
    <col min="3" max="3" width="2" customWidth="1"/>
    <col min="4" max="4" width="12.85546875" bestFit="1" customWidth="1"/>
    <col min="5" max="5" width="1.7109375" customWidth="1"/>
    <col min="6" max="6" width="16.5703125" bestFit="1" customWidth="1"/>
  </cols>
  <sheetData>
    <row r="1" spans="2:6">
      <c r="B1" s="15" t="s">
        <v>0</v>
      </c>
    </row>
    <row r="3" spans="2:6">
      <c r="B3" s="10" t="s">
        <v>1</v>
      </c>
      <c r="C3" s="11"/>
      <c r="D3" s="10" t="s">
        <v>2</v>
      </c>
      <c r="E3" s="11"/>
      <c r="F3" s="30" t="s">
        <v>3</v>
      </c>
    </row>
    <row r="4" spans="2:6">
      <c r="B4" s="2" t="s">
        <v>4</v>
      </c>
      <c r="C4" s="11"/>
      <c r="D4" s="2" t="s">
        <v>5</v>
      </c>
      <c r="E4" s="11"/>
      <c r="F4" s="2" t="s">
        <v>6</v>
      </c>
    </row>
    <row r="5" spans="2:6">
      <c r="B5" s="2" t="s">
        <v>7</v>
      </c>
      <c r="C5" s="11"/>
      <c r="D5" s="2" t="s">
        <v>8</v>
      </c>
      <c r="E5" s="11"/>
      <c r="F5" s="2" t="s">
        <v>9</v>
      </c>
    </row>
    <row r="6" spans="2:6">
      <c r="B6" s="2" t="s">
        <v>10</v>
      </c>
      <c r="C6" s="11"/>
      <c r="D6" s="2" t="s">
        <v>11</v>
      </c>
      <c r="E6" s="11"/>
      <c r="F6" s="2" t="s">
        <v>12</v>
      </c>
    </row>
    <row r="7" spans="2:6">
      <c r="B7" s="2" t="s">
        <v>13</v>
      </c>
      <c r="C7" s="11"/>
      <c r="D7" s="11"/>
      <c r="E7" s="11"/>
      <c r="F7" s="1" t="s">
        <v>14</v>
      </c>
    </row>
    <row r="8" spans="2:6">
      <c r="B8" s="2" t="s">
        <v>15</v>
      </c>
      <c r="F8" s="2" t="s">
        <v>16</v>
      </c>
    </row>
    <row r="9" spans="2:6">
      <c r="F9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CF8D-A9D1-449C-BAA6-63DF8FFD4B22}">
  <dimension ref="B1:E51"/>
  <sheetViews>
    <sheetView showGridLines="0" topLeftCell="C1" workbookViewId="0">
      <selection activeCell="E2" sqref="E2"/>
    </sheetView>
  </sheetViews>
  <sheetFormatPr defaultRowHeight="15"/>
  <cols>
    <col min="1" max="1" width="3.42578125" customWidth="1"/>
    <col min="2" max="2" width="11.7109375" customWidth="1"/>
    <col min="3" max="3" width="75.28515625" customWidth="1"/>
  </cols>
  <sheetData>
    <row r="1" spans="2:5">
      <c r="B1" s="15" t="s">
        <v>18</v>
      </c>
    </row>
    <row r="2" spans="2:5">
      <c r="B2" t="s">
        <v>19</v>
      </c>
      <c r="E2" s="36" t="s">
        <v>20</v>
      </c>
    </row>
    <row r="4" spans="2:5">
      <c r="B4" t="s">
        <v>21</v>
      </c>
    </row>
    <row r="5" spans="2:5" ht="6.75" customHeight="1"/>
    <row r="6" spans="2:5">
      <c r="B6" s="22" t="s">
        <v>22</v>
      </c>
      <c r="C6" s="22" t="s">
        <v>23</v>
      </c>
    </row>
    <row r="7" spans="2:5">
      <c r="B7" s="23" t="s">
        <v>24</v>
      </c>
      <c r="C7" s="24" t="s">
        <v>25</v>
      </c>
    </row>
    <row r="8" spans="2:5" ht="15" customHeight="1">
      <c r="B8" s="23" t="s">
        <v>26</v>
      </c>
      <c r="C8" s="24" t="s">
        <v>27</v>
      </c>
    </row>
    <row r="9" spans="2:5" ht="29.25">
      <c r="B9" s="33" t="s">
        <v>28</v>
      </c>
      <c r="C9" s="16" t="s">
        <v>29</v>
      </c>
    </row>
    <row r="10" spans="2:5" ht="29.25">
      <c r="B10" s="33" t="s">
        <v>30</v>
      </c>
      <c r="C10" s="16" t="s">
        <v>31</v>
      </c>
    </row>
    <row r="11" spans="2:5" ht="29.25">
      <c r="B11" s="34" t="s">
        <v>32</v>
      </c>
      <c r="C11" s="16" t="s">
        <v>33</v>
      </c>
    </row>
    <row r="12" spans="2:5" ht="29.25">
      <c r="B12" s="34" t="s">
        <v>34</v>
      </c>
      <c r="C12" s="16" t="s">
        <v>35</v>
      </c>
    </row>
    <row r="13" spans="2:5" ht="15" customHeight="1">
      <c r="B13" s="35" t="s">
        <v>36</v>
      </c>
      <c r="C13" s="32" t="s">
        <v>37</v>
      </c>
    </row>
    <row r="14" spans="2:5" ht="29.25">
      <c r="B14" s="34" t="s">
        <v>15</v>
      </c>
      <c r="C14" s="16" t="s">
        <v>38</v>
      </c>
    </row>
    <row r="15" spans="2:5" ht="15" customHeight="1">
      <c r="B15" s="34" t="s">
        <v>39</v>
      </c>
      <c r="C15" s="16" t="s">
        <v>40</v>
      </c>
    </row>
    <row r="16" spans="2:5">
      <c r="B16" s="17"/>
      <c r="C16" s="18"/>
    </row>
    <row r="18" spans="2:2">
      <c r="B18" s="15" t="s">
        <v>41</v>
      </c>
    </row>
    <row r="19" spans="2:2" ht="6" customHeight="1"/>
    <row r="20" spans="2:2">
      <c r="B20" s="15" t="s">
        <v>42</v>
      </c>
    </row>
    <row r="21" spans="2:2">
      <c r="B21" s="20" t="s">
        <v>43</v>
      </c>
    </row>
    <row r="22" spans="2:2">
      <c r="B22" s="20" t="s">
        <v>44</v>
      </c>
    </row>
    <row r="23" spans="2:2" ht="7.5" customHeight="1"/>
    <row r="24" spans="2:2">
      <c r="B24" s="15" t="s">
        <v>45</v>
      </c>
    </row>
    <row r="25" spans="2:2">
      <c r="B25" s="20" t="s">
        <v>46</v>
      </c>
    </row>
    <row r="26" spans="2:2">
      <c r="B26" t="s">
        <v>47</v>
      </c>
    </row>
    <row r="27" spans="2:2">
      <c r="B27" t="s">
        <v>48</v>
      </c>
    </row>
    <row r="28" spans="2:2" ht="6.75" customHeight="1"/>
    <row r="29" spans="2:2">
      <c r="B29" s="15" t="s">
        <v>49</v>
      </c>
    </row>
    <row r="30" spans="2:2">
      <c r="B30" s="31" t="s">
        <v>50</v>
      </c>
    </row>
    <row r="31" spans="2:2">
      <c r="B31" t="s">
        <v>51</v>
      </c>
    </row>
    <row r="32" spans="2:2">
      <c r="B32" t="s">
        <v>52</v>
      </c>
    </row>
    <row r="33" spans="2:2" ht="6.75" customHeight="1"/>
    <row r="34" spans="2:2">
      <c r="B34" s="15" t="s">
        <v>53</v>
      </c>
    </row>
    <row r="35" spans="2:2">
      <c r="B35" s="20" t="s">
        <v>54</v>
      </c>
    </row>
    <row r="36" spans="2:2">
      <c r="B36" t="s">
        <v>55</v>
      </c>
    </row>
    <row r="37" spans="2:2">
      <c r="B37" t="s">
        <v>56</v>
      </c>
    </row>
    <row r="40" spans="2:2">
      <c r="B40" s="15" t="s">
        <v>57</v>
      </c>
    </row>
    <row r="41" spans="2:2">
      <c r="B41" s="19" t="s">
        <v>58</v>
      </c>
    </row>
    <row r="42" spans="2:2">
      <c r="B42" s="19" t="s">
        <v>59</v>
      </c>
    </row>
    <row r="43" spans="2:2">
      <c r="B43" s="19" t="s">
        <v>60</v>
      </c>
    </row>
    <row r="44" spans="2:2">
      <c r="B44" s="19" t="s">
        <v>61</v>
      </c>
    </row>
    <row r="45" spans="2:2">
      <c r="B45" s="19" t="s">
        <v>62</v>
      </c>
    </row>
    <row r="48" spans="2:2">
      <c r="B48" s="15" t="s">
        <v>63</v>
      </c>
    </row>
    <row r="49" spans="2:2">
      <c r="B49" t="s">
        <v>64</v>
      </c>
    </row>
    <row r="50" spans="2:2">
      <c r="B50" t="s">
        <v>65</v>
      </c>
    </row>
    <row r="51" spans="2:2">
      <c r="B51" s="19" t="s">
        <v>66</v>
      </c>
    </row>
  </sheetData>
  <hyperlinks>
    <hyperlink ref="E2" r:id="rId1" xr:uid="{72C18F82-10B6-4D36-88E0-F3CE75EF8A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8E0C-463F-4D4E-BE06-FAA6A78C050A}">
  <sheetPr>
    <tabColor theme="4" tint="0.79998168889431442"/>
  </sheetPr>
  <dimension ref="A1:M20"/>
  <sheetViews>
    <sheetView showGridLines="0" workbookViewId="0">
      <selection activeCell="G13" sqref="G13"/>
    </sheetView>
  </sheetViews>
  <sheetFormatPr defaultRowHeight="15"/>
  <cols>
    <col min="1" max="1" width="4" customWidth="1"/>
    <col min="2" max="2" width="12.28515625" bestFit="1" customWidth="1"/>
    <col min="3" max="3" width="7.140625" bestFit="1" customWidth="1"/>
    <col min="4" max="4" width="9.7109375" bestFit="1" customWidth="1"/>
    <col min="5" max="5" width="11.42578125" bestFit="1" customWidth="1"/>
    <col min="6" max="6" width="11.140625" bestFit="1" customWidth="1"/>
    <col min="7" max="7" width="21" bestFit="1" customWidth="1"/>
    <col min="8" max="8" width="17.42578125" bestFit="1" customWidth="1"/>
    <col min="9" max="9" width="12.85546875" bestFit="1" customWidth="1"/>
    <col min="10" max="10" width="11" bestFit="1" customWidth="1"/>
    <col min="11" max="11" width="10.7109375" bestFit="1" customWidth="1"/>
    <col min="12" max="12" width="23.5703125" bestFit="1" customWidth="1"/>
    <col min="13" max="13" width="12.28515625" bestFit="1" customWidth="1"/>
  </cols>
  <sheetData>
    <row r="1" spans="1:13">
      <c r="B1" s="3" t="s">
        <v>67</v>
      </c>
    </row>
    <row r="2" spans="1:13" ht="12.75" customHeight="1">
      <c r="B2" t="s">
        <v>68</v>
      </c>
      <c r="C2" s="3"/>
      <c r="D2" s="5"/>
    </row>
    <row r="4" spans="1:13">
      <c r="B4" s="8" t="s">
        <v>69</v>
      </c>
      <c r="C4" s="29" t="s">
        <v>70</v>
      </c>
      <c r="D4" s="8" t="s">
        <v>71</v>
      </c>
      <c r="E4" s="8" t="s">
        <v>1</v>
      </c>
      <c r="F4" s="8" t="s">
        <v>72</v>
      </c>
      <c r="G4" s="8" t="s">
        <v>73</v>
      </c>
      <c r="H4" s="8" t="s">
        <v>74</v>
      </c>
      <c r="I4" s="8" t="s">
        <v>2</v>
      </c>
      <c r="J4" s="8" t="s">
        <v>75</v>
      </c>
      <c r="K4" s="8" t="s">
        <v>76</v>
      </c>
      <c r="L4" s="8" t="s">
        <v>77</v>
      </c>
      <c r="M4" s="8" t="s">
        <v>78</v>
      </c>
    </row>
    <row r="5" spans="1:13">
      <c r="B5" s="39" t="s">
        <v>79</v>
      </c>
      <c r="C5" s="9">
        <v>1</v>
      </c>
      <c r="D5" s="9" t="s">
        <v>80</v>
      </c>
      <c r="E5" s="9" t="s">
        <v>7</v>
      </c>
      <c r="F5" s="9">
        <v>13</v>
      </c>
      <c r="G5" s="9">
        <v>35</v>
      </c>
      <c r="H5" s="9">
        <v>44</v>
      </c>
      <c r="I5" s="9" t="s">
        <v>8</v>
      </c>
      <c r="J5" s="9" t="s">
        <v>81</v>
      </c>
      <c r="K5" s="9">
        <v>111111</v>
      </c>
      <c r="L5" s="9" t="s">
        <v>82</v>
      </c>
      <c r="M5" s="9"/>
    </row>
    <row r="6" spans="1:13">
      <c r="B6" s="39" t="s">
        <v>83</v>
      </c>
      <c r="C6" s="9">
        <v>2</v>
      </c>
      <c r="D6" s="9" t="s">
        <v>80</v>
      </c>
      <c r="E6" s="9" t="s">
        <v>7</v>
      </c>
      <c r="F6" s="9">
        <v>10</v>
      </c>
      <c r="G6" s="9">
        <v>36</v>
      </c>
      <c r="H6" s="9">
        <v>44</v>
      </c>
      <c r="I6" s="9" t="s">
        <v>8</v>
      </c>
      <c r="J6" s="9" t="s">
        <v>81</v>
      </c>
      <c r="K6" s="9">
        <v>111111</v>
      </c>
      <c r="L6" s="9" t="s">
        <v>82</v>
      </c>
      <c r="M6" s="9"/>
    </row>
    <row r="7" spans="1:13">
      <c r="B7" s="39" t="s">
        <v>84</v>
      </c>
      <c r="C7" s="9">
        <v>3</v>
      </c>
      <c r="D7" s="9" t="s">
        <v>85</v>
      </c>
      <c r="E7" s="9" t="s">
        <v>7</v>
      </c>
      <c r="F7" s="9">
        <v>14</v>
      </c>
      <c r="G7" s="9">
        <v>35</v>
      </c>
      <c r="H7" s="9">
        <v>50</v>
      </c>
      <c r="I7" s="9" t="s">
        <v>8</v>
      </c>
      <c r="J7" s="9" t="s">
        <v>81</v>
      </c>
      <c r="K7" s="9">
        <v>121212</v>
      </c>
      <c r="L7" s="9" t="s">
        <v>82</v>
      </c>
      <c r="M7" s="9"/>
    </row>
    <row r="8" spans="1:13">
      <c r="B8" s="39" t="s">
        <v>86</v>
      </c>
      <c r="C8" s="9">
        <v>4</v>
      </c>
      <c r="D8" s="9" t="s">
        <v>87</v>
      </c>
      <c r="E8" s="9" t="s">
        <v>4</v>
      </c>
      <c r="F8" s="9">
        <v>5</v>
      </c>
      <c r="G8" s="9"/>
      <c r="H8" s="9">
        <v>20</v>
      </c>
      <c r="I8" s="9" t="s">
        <v>11</v>
      </c>
      <c r="J8" s="9" t="s">
        <v>81</v>
      </c>
      <c r="K8" s="9">
        <v>121212</v>
      </c>
      <c r="L8" s="9" t="s">
        <v>82</v>
      </c>
      <c r="M8" s="9"/>
    </row>
    <row r="12" spans="1:13">
      <c r="A12" s="40"/>
      <c r="B12" s="40"/>
      <c r="C12" s="40"/>
      <c r="D12" s="40"/>
    </row>
    <row r="13" spans="1:13">
      <c r="A13" s="40"/>
      <c r="B13" s="40"/>
      <c r="C13" s="40"/>
      <c r="D13" s="40"/>
    </row>
    <row r="14" spans="1:13">
      <c r="A14" s="40"/>
      <c r="B14" s="41"/>
      <c r="C14" s="40"/>
      <c r="D14" s="40"/>
    </row>
    <row r="15" spans="1:13">
      <c r="A15" s="40"/>
      <c r="B15" s="41"/>
      <c r="C15" s="40"/>
      <c r="D15" s="40"/>
    </row>
    <row r="16" spans="1:13">
      <c r="A16" s="40"/>
      <c r="B16" s="41"/>
      <c r="C16" s="40"/>
      <c r="D16" s="40"/>
    </row>
    <row r="17" spans="1:4">
      <c r="A17" s="40"/>
      <c r="B17" s="41"/>
      <c r="C17" s="40"/>
      <c r="D17" s="40"/>
    </row>
    <row r="18" spans="1:4">
      <c r="A18" s="40"/>
      <c r="B18" s="40"/>
      <c r="C18" s="40"/>
      <c r="D18" s="40"/>
    </row>
    <row r="19" spans="1:4">
      <c r="A19" s="40"/>
      <c r="B19" s="40"/>
      <c r="C19" s="40"/>
      <c r="D19" s="40"/>
    </row>
    <row r="20" spans="1:4">
      <c r="A20" s="40"/>
      <c r="B20" s="40"/>
      <c r="C20" s="40"/>
      <c r="D20" s="40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E5BF0C2-1EEC-44CC-9EB4-D5AC5ED459A2}">
          <x14:formula1>
            <xm:f>DADOS!$B$4:$B$6</xm:f>
          </x14:formula1>
          <xm:sqref>E5:E8</xm:sqref>
        </x14:dataValidation>
        <x14:dataValidation type="list" allowBlank="1" showInputMessage="1" showErrorMessage="1" xr:uid="{5AEBA877-06B6-47F7-9ADE-3D54A8ACF6D3}">
          <x14:formula1>
            <xm:f>DADOS!$D$4:$D$6</xm:f>
          </x14:formula1>
          <xm:sqref>I5:I8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55DF-D134-4F47-9122-5664D500A93C}">
  <sheetPr>
    <tabColor theme="4" tint="0.79998168889431442"/>
  </sheetPr>
  <dimension ref="B1:P7"/>
  <sheetViews>
    <sheetView showGridLines="0" workbookViewId="0">
      <selection activeCell="B5" sqref="B5:B6"/>
    </sheetView>
  </sheetViews>
  <sheetFormatPr defaultRowHeight="15"/>
  <cols>
    <col min="1" max="1" width="4.28515625" style="7" customWidth="1"/>
    <col min="2" max="2" width="24" style="7" bestFit="1" customWidth="1"/>
    <col min="3" max="3" width="7.140625" style="7" bestFit="1" customWidth="1"/>
    <col min="4" max="4" width="9.7109375" style="7" bestFit="1" customWidth="1"/>
    <col min="5" max="5" width="11.42578125" style="7" bestFit="1" customWidth="1"/>
    <col min="6" max="6" width="6" style="7" bestFit="1" customWidth="1"/>
    <col min="7" max="7" width="21" style="7" bestFit="1" customWidth="1"/>
    <col min="8" max="8" width="23" style="7" bestFit="1" customWidth="1"/>
    <col min="9" max="9" width="13" style="7" bestFit="1" customWidth="1"/>
    <col min="10" max="10" width="16.42578125" style="7" bestFit="1" customWidth="1"/>
    <col min="11" max="11" width="20.7109375" style="7" bestFit="1" customWidth="1"/>
    <col min="12" max="12" width="24.140625" style="7" bestFit="1" customWidth="1"/>
    <col min="13" max="13" width="12.42578125" style="26" bestFit="1" customWidth="1"/>
    <col min="14" max="14" width="14.85546875" style="7" bestFit="1" customWidth="1"/>
    <col min="15" max="15" width="8.7109375" style="7" bestFit="1" customWidth="1"/>
    <col min="16" max="16" width="12.28515625" style="7" bestFit="1" customWidth="1"/>
    <col min="17" max="16384" width="9.140625" style="7"/>
  </cols>
  <sheetData>
    <row r="1" spans="2:16" customFormat="1">
      <c r="B1" s="4" t="s">
        <v>88</v>
      </c>
      <c r="M1" s="25"/>
    </row>
    <row r="2" spans="2:16" customFormat="1">
      <c r="B2" s="6" t="s">
        <v>89</v>
      </c>
      <c r="M2" s="25"/>
    </row>
    <row r="3" spans="2:16" customFormat="1">
      <c r="M3" s="25"/>
    </row>
    <row r="4" spans="2:16">
      <c r="B4" s="8" t="s">
        <v>90</v>
      </c>
      <c r="C4" s="8" t="s">
        <v>70</v>
      </c>
      <c r="D4" s="8" t="s">
        <v>71</v>
      </c>
      <c r="E4" s="8" t="s">
        <v>1</v>
      </c>
      <c r="F4" s="8" t="s">
        <v>91</v>
      </c>
      <c r="G4" s="8" t="s">
        <v>73</v>
      </c>
      <c r="H4" s="8" t="s">
        <v>92</v>
      </c>
      <c r="I4" s="8" t="s">
        <v>93</v>
      </c>
      <c r="J4" s="8" t="s">
        <v>94</v>
      </c>
      <c r="K4" s="8" t="s">
        <v>95</v>
      </c>
      <c r="L4" s="8" t="s">
        <v>96</v>
      </c>
      <c r="M4" s="8" t="s">
        <v>97</v>
      </c>
      <c r="N4" s="8" t="s">
        <v>98</v>
      </c>
      <c r="O4" s="8" t="s">
        <v>3</v>
      </c>
      <c r="P4" s="8" t="s">
        <v>78</v>
      </c>
    </row>
    <row r="5" spans="2:16">
      <c r="B5" s="38" t="s">
        <v>84</v>
      </c>
      <c r="C5" s="1">
        <v>1</v>
      </c>
      <c r="D5" s="1" t="s">
        <v>80</v>
      </c>
      <c r="E5" s="1" t="s">
        <v>7</v>
      </c>
      <c r="F5" s="1">
        <v>1</v>
      </c>
      <c r="G5" s="1">
        <v>35</v>
      </c>
      <c r="H5" s="1" t="s">
        <v>99</v>
      </c>
      <c r="I5" s="1" t="s">
        <v>100</v>
      </c>
      <c r="J5" s="1">
        <v>111111</v>
      </c>
      <c r="K5" s="1" t="s">
        <v>101</v>
      </c>
      <c r="L5" s="1" t="s">
        <v>102</v>
      </c>
      <c r="M5" s="21" t="s">
        <v>103</v>
      </c>
      <c r="N5" s="1"/>
      <c r="O5" s="1" t="s">
        <v>6</v>
      </c>
      <c r="P5" s="1"/>
    </row>
    <row r="6" spans="2:16">
      <c r="B6" s="38" t="s">
        <v>104</v>
      </c>
      <c r="C6" s="1">
        <v>1</v>
      </c>
      <c r="D6" s="1" t="s">
        <v>80</v>
      </c>
      <c r="E6" s="1" t="s">
        <v>7</v>
      </c>
      <c r="F6" s="1">
        <v>1</v>
      </c>
      <c r="G6" s="1">
        <v>35</v>
      </c>
      <c r="H6" s="1" t="s">
        <v>105</v>
      </c>
      <c r="I6" s="1" t="s">
        <v>100</v>
      </c>
      <c r="J6" s="1">
        <v>111111</v>
      </c>
      <c r="K6" s="1" t="s">
        <v>101</v>
      </c>
      <c r="L6" s="1" t="s">
        <v>102</v>
      </c>
      <c r="M6" s="21" t="s">
        <v>103</v>
      </c>
      <c r="N6" s="1"/>
      <c r="O6" s="1" t="s">
        <v>6</v>
      </c>
      <c r="P6" s="1"/>
    </row>
    <row r="7" spans="2:16">
      <c r="B7" s="38" t="s">
        <v>106</v>
      </c>
      <c r="C7" s="1">
        <v>2</v>
      </c>
      <c r="D7" s="1" t="s">
        <v>80</v>
      </c>
      <c r="E7" s="1" t="s">
        <v>7</v>
      </c>
      <c r="F7" s="1">
        <v>1</v>
      </c>
      <c r="G7" s="1">
        <v>36</v>
      </c>
      <c r="H7" s="1" t="s">
        <v>107</v>
      </c>
      <c r="I7" s="1" t="s">
        <v>100</v>
      </c>
      <c r="J7" s="1">
        <v>111111</v>
      </c>
      <c r="K7" s="1" t="s">
        <v>101</v>
      </c>
      <c r="L7" s="1" t="s">
        <v>102</v>
      </c>
      <c r="M7" s="21" t="s">
        <v>103</v>
      </c>
      <c r="N7" s="1"/>
      <c r="O7" s="1" t="s">
        <v>6</v>
      </c>
      <c r="P7" s="1"/>
    </row>
  </sheetData>
  <conditionalFormatting sqref="O1:O1048576">
    <cfRule type="expression" dxfId="10" priority="5">
      <formula>$O1="Entregue"</formula>
    </cfRule>
  </conditionalFormatting>
  <conditionalFormatting sqref="O1:O1048576">
    <cfRule type="expression" dxfId="9" priority="4">
      <formula>$O1="Pendente"</formula>
    </cfRule>
  </conditionalFormatting>
  <conditionalFormatting sqref="O1:O1048576">
    <cfRule type="expression" dxfId="8" priority="3">
      <formula>$O1="Próx. Vencimento"</formula>
    </cfRule>
  </conditionalFormatting>
  <conditionalFormatting sqref="O1:O1048576">
    <cfRule type="expression" dxfId="7" priority="1">
      <formula>$O1="Devolvido"</formula>
    </cfRule>
    <cfRule type="expression" dxfId="6" priority="2">
      <formula>$O1="Devolvido"</formula>
    </cfRule>
  </conditionalFormatting>
  <dataValidations count="1">
    <dataValidation allowBlank="1" showInputMessage="1" showErrorMessage="1" sqref="G1:G1048576" xr:uid="{3F6F4E4E-A0CC-4B34-8B9C-80004E074DC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E3737E-CD27-4E99-88BD-0B8DEFBEB265}">
          <x14:formula1>
            <xm:f>DADOS!$B$4:$B$6</xm:f>
          </x14:formula1>
          <xm:sqref>E5:E7</xm:sqref>
        </x14:dataValidation>
        <x14:dataValidation type="list" allowBlank="1" showInputMessage="1" showErrorMessage="1" xr:uid="{A0A60E9C-4DB9-4F0A-A3FC-9A9DF8543396}">
          <x14:formula1>
            <xm:f>DADOS!$F$4:$F$8</xm:f>
          </x14:formula1>
          <xm:sqref>O5:O7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E7B0-9624-49B2-8EA1-29A380A0C82C}">
  <sheetPr>
    <tabColor theme="5" tint="0.79998168889431442"/>
  </sheetPr>
  <dimension ref="B1:J9"/>
  <sheetViews>
    <sheetView showGridLines="0" topLeftCell="C1" workbookViewId="0">
      <selection activeCell="K16" sqref="K16"/>
    </sheetView>
  </sheetViews>
  <sheetFormatPr defaultRowHeight="15"/>
  <cols>
    <col min="1" max="1" width="3.140625" customWidth="1"/>
    <col min="2" max="2" width="16.140625" bestFit="1" customWidth="1"/>
    <col min="3" max="3" width="15.5703125" bestFit="1" customWidth="1"/>
    <col min="5" max="5" width="11.140625" bestFit="1" customWidth="1"/>
    <col min="6" max="7" width="11.140625" customWidth="1"/>
    <col min="8" max="8" width="11.140625" bestFit="1" customWidth="1"/>
    <col min="9" max="9" width="10.140625" customWidth="1"/>
    <col min="10" max="10" width="10.85546875" customWidth="1"/>
  </cols>
  <sheetData>
    <row r="1" spans="2:10">
      <c r="B1" s="12" t="s">
        <v>108</v>
      </c>
    </row>
    <row r="2" spans="2:10">
      <c r="B2" t="s">
        <v>109</v>
      </c>
      <c r="C2" s="27">
        <v>45758.640277777777</v>
      </c>
    </row>
    <row r="4" spans="2:10">
      <c r="B4" s="14" t="s">
        <v>1</v>
      </c>
      <c r="C4" s="14" t="s">
        <v>71</v>
      </c>
      <c r="D4" s="14" t="s">
        <v>110</v>
      </c>
      <c r="E4" s="42" t="s">
        <v>111</v>
      </c>
      <c r="F4" s="43"/>
      <c r="G4" s="44"/>
      <c r="H4" s="42" t="s">
        <v>112</v>
      </c>
      <c r="I4" s="43"/>
      <c r="J4" s="44"/>
    </row>
    <row r="5" spans="2:10">
      <c r="B5" s="37" t="s">
        <v>113</v>
      </c>
      <c r="C5" s="37" t="s">
        <v>113</v>
      </c>
      <c r="D5" s="37" t="s">
        <v>113</v>
      </c>
      <c r="E5" s="13" t="s">
        <v>28</v>
      </c>
      <c r="F5" s="13" t="s">
        <v>114</v>
      </c>
      <c r="G5" s="13" t="s">
        <v>115</v>
      </c>
      <c r="H5" s="13" t="s">
        <v>28</v>
      </c>
      <c r="I5" s="13" t="s">
        <v>114</v>
      </c>
      <c r="J5" s="13" t="s">
        <v>115</v>
      </c>
    </row>
    <row r="6" spans="2:10">
      <c r="B6" t="s">
        <v>7</v>
      </c>
      <c r="C6" t="s">
        <v>80</v>
      </c>
      <c r="D6">
        <v>35</v>
      </c>
      <c r="E6">
        <v>13</v>
      </c>
      <c r="F6">
        <v>2</v>
      </c>
      <c r="G6">
        <v>11</v>
      </c>
      <c r="H6">
        <v>0</v>
      </c>
      <c r="I6">
        <v>0</v>
      </c>
      <c r="J6">
        <v>11</v>
      </c>
    </row>
    <row r="7" spans="2:10">
      <c r="B7" t="s">
        <v>7</v>
      </c>
      <c r="C7" t="s">
        <v>80</v>
      </c>
      <c r="D7">
        <v>36</v>
      </c>
      <c r="E7">
        <v>10</v>
      </c>
      <c r="F7">
        <v>1</v>
      </c>
      <c r="G7">
        <v>9</v>
      </c>
      <c r="H7">
        <v>0</v>
      </c>
      <c r="I7">
        <v>0</v>
      </c>
      <c r="J7">
        <v>9</v>
      </c>
    </row>
    <row r="8" spans="2:10">
      <c r="B8" t="s">
        <v>7</v>
      </c>
      <c r="C8" t="s">
        <v>85</v>
      </c>
      <c r="D8">
        <v>35</v>
      </c>
      <c r="E8">
        <v>14</v>
      </c>
      <c r="F8">
        <v>0</v>
      </c>
      <c r="G8">
        <v>14</v>
      </c>
      <c r="H8">
        <v>0</v>
      </c>
      <c r="I8">
        <v>0</v>
      </c>
      <c r="J8">
        <v>14</v>
      </c>
    </row>
    <row r="9" spans="2:10">
      <c r="B9" t="s">
        <v>4</v>
      </c>
      <c r="C9" t="s">
        <v>87</v>
      </c>
      <c r="E9">
        <v>0</v>
      </c>
      <c r="F9">
        <v>0</v>
      </c>
      <c r="G9">
        <v>0</v>
      </c>
      <c r="H9">
        <v>5</v>
      </c>
      <c r="I9">
        <v>0</v>
      </c>
      <c r="J9">
        <v>5</v>
      </c>
    </row>
  </sheetData>
  <mergeCells count="2">
    <mergeCell ref="E4:G4"/>
    <mergeCell ref="H4:J4"/>
  </mergeCell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B1:K8"/>
  <sheetViews>
    <sheetView showGridLines="0" workbookViewId="0">
      <selection activeCell="G1" sqref="G1"/>
    </sheetView>
  </sheetViews>
  <sheetFormatPr defaultRowHeight="15"/>
  <cols>
    <col min="1" max="1" width="3.42578125" customWidth="1"/>
    <col min="2" max="2" width="16.140625" bestFit="1" customWidth="1"/>
    <col min="3" max="3" width="15.5703125" bestFit="1" customWidth="1"/>
    <col min="5" max="5" width="12.85546875" bestFit="1" customWidth="1"/>
    <col min="6" max="6" width="8.28515625" bestFit="1" customWidth="1"/>
    <col min="7" max="9" width="8.28515625" customWidth="1"/>
    <col min="10" max="11" width="11.5703125" bestFit="1" customWidth="1"/>
  </cols>
  <sheetData>
    <row r="1" spans="2:11">
      <c r="B1" s="12" t="s">
        <v>116</v>
      </c>
    </row>
    <row r="2" spans="2:11">
      <c r="B2" t="s">
        <v>109</v>
      </c>
      <c r="C2" s="27">
        <v>45758.462500000001</v>
      </c>
    </row>
    <row r="4" spans="2:11">
      <c r="B4" s="8" t="s">
        <v>1</v>
      </c>
      <c r="C4" s="8" t="s">
        <v>71</v>
      </c>
      <c r="D4" s="8" t="s">
        <v>110</v>
      </c>
      <c r="E4" s="8" t="s">
        <v>2</v>
      </c>
      <c r="F4" s="8" t="s">
        <v>117</v>
      </c>
      <c r="G4" s="8" t="s">
        <v>28</v>
      </c>
      <c r="H4" s="8" t="s">
        <v>114</v>
      </c>
      <c r="I4" s="8" t="s">
        <v>115</v>
      </c>
      <c r="J4" s="8" t="s">
        <v>118</v>
      </c>
      <c r="K4" s="8" t="s">
        <v>119</v>
      </c>
    </row>
    <row r="5" spans="2:11">
      <c r="B5" t="s">
        <v>4</v>
      </c>
      <c r="C5" t="s">
        <v>87</v>
      </c>
      <c r="F5" t="s">
        <v>120</v>
      </c>
      <c r="G5">
        <v>5</v>
      </c>
      <c r="H5">
        <v>0</v>
      </c>
      <c r="I5">
        <v>5</v>
      </c>
    </row>
    <row r="6" spans="2:11">
      <c r="B6" t="s">
        <v>7</v>
      </c>
      <c r="C6" t="s">
        <v>80</v>
      </c>
      <c r="D6">
        <v>35</v>
      </c>
      <c r="F6" t="s">
        <v>120</v>
      </c>
      <c r="G6">
        <v>13</v>
      </c>
      <c r="H6">
        <v>2</v>
      </c>
      <c r="I6">
        <v>11</v>
      </c>
    </row>
    <row r="7" spans="2:11">
      <c r="B7" t="s">
        <v>7</v>
      </c>
      <c r="C7" t="s">
        <v>80</v>
      </c>
      <c r="D7">
        <v>36</v>
      </c>
      <c r="F7" t="s">
        <v>120</v>
      </c>
      <c r="G7">
        <v>10</v>
      </c>
      <c r="H7">
        <v>1</v>
      </c>
      <c r="I7">
        <v>9</v>
      </c>
    </row>
    <row r="8" spans="2:11">
      <c r="B8" t="s">
        <v>7</v>
      </c>
      <c r="C8" t="s">
        <v>85</v>
      </c>
      <c r="D8">
        <v>35</v>
      </c>
      <c r="F8" t="s">
        <v>120</v>
      </c>
      <c r="G8">
        <v>14</v>
      </c>
      <c r="H8">
        <v>0</v>
      </c>
      <c r="I8">
        <v>14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73460-ABC0-4DBC-BA57-228D8EF77617}">
  <sheetPr>
    <tabColor theme="5" tint="0.79998168889431442"/>
  </sheetPr>
  <dimension ref="B1:H7"/>
  <sheetViews>
    <sheetView showGridLines="0" workbookViewId="0">
      <selection activeCell="B4" sqref="B4:H4"/>
    </sheetView>
  </sheetViews>
  <sheetFormatPr defaultRowHeight="15"/>
  <cols>
    <col min="1" max="1" width="3.28515625" customWidth="1"/>
    <col min="2" max="2" width="16.28515625" customWidth="1"/>
    <col min="3" max="3" width="15.5703125" bestFit="1" customWidth="1"/>
    <col min="4" max="4" width="5.28515625" bestFit="1" customWidth="1"/>
    <col min="5" max="5" width="12.42578125" bestFit="1" customWidth="1"/>
    <col min="6" max="6" width="15.28515625" bestFit="1" customWidth="1"/>
    <col min="7" max="7" width="13" bestFit="1" customWidth="1"/>
    <col min="8" max="8" width="8.7109375" bestFit="1" customWidth="1"/>
    <col min="9" max="9" width="6.5703125" bestFit="1" customWidth="1"/>
  </cols>
  <sheetData>
    <row r="1" spans="2:8">
      <c r="B1" s="12" t="s">
        <v>121</v>
      </c>
    </row>
    <row r="2" spans="2:8">
      <c r="B2" s="27" t="s">
        <v>109</v>
      </c>
      <c r="C2" s="27">
        <v>45758.463194444441</v>
      </c>
    </row>
    <row r="4" spans="2:8">
      <c r="B4" s="14" t="s">
        <v>122</v>
      </c>
      <c r="C4" s="14" t="s">
        <v>110</v>
      </c>
      <c r="D4" s="14" t="s">
        <v>123</v>
      </c>
      <c r="E4" s="14" t="s">
        <v>97</v>
      </c>
      <c r="F4" s="14" t="s">
        <v>98</v>
      </c>
      <c r="G4" s="14" t="s">
        <v>124</v>
      </c>
      <c r="H4" s="14" t="s">
        <v>3</v>
      </c>
    </row>
    <row r="5" spans="2:8">
      <c r="B5" t="s">
        <v>99</v>
      </c>
      <c r="C5">
        <v>35</v>
      </c>
      <c r="D5">
        <v>1</v>
      </c>
      <c r="E5" s="28" t="s">
        <v>103</v>
      </c>
      <c r="F5" s="28"/>
      <c r="G5" s="28">
        <f>EDATE(DATE(RIGHT(E5,4), MID(E5,4,2), LEFT(E5,2)), 6)</f>
        <v>46105</v>
      </c>
      <c r="H5" t="s">
        <v>6</v>
      </c>
    </row>
    <row r="6" spans="2:8">
      <c r="B6" t="s">
        <v>105</v>
      </c>
      <c r="C6">
        <v>35</v>
      </c>
      <c r="D6">
        <v>1</v>
      </c>
      <c r="E6" s="28" t="s">
        <v>103</v>
      </c>
      <c r="F6" s="28"/>
      <c r="G6" s="28">
        <f>EDATE(DATE(RIGHT(E6,4), MID(E6,4,2), LEFT(E6,2)), 6)</f>
        <v>46105</v>
      </c>
      <c r="H6" t="s">
        <v>6</v>
      </c>
    </row>
    <row r="7" spans="2:8">
      <c r="B7" t="s">
        <v>107</v>
      </c>
      <c r="C7">
        <v>36</v>
      </c>
      <c r="D7">
        <v>2</v>
      </c>
      <c r="E7" s="28" t="s">
        <v>103</v>
      </c>
      <c r="F7" s="28"/>
      <c r="G7" s="28">
        <f>EDATE(DATE(RIGHT(E7,4), MID(E7,4,2), LEFT(E7,2)), 6)</f>
        <v>46105</v>
      </c>
      <c r="H7" t="s">
        <v>6</v>
      </c>
    </row>
  </sheetData>
  <conditionalFormatting sqref="H1:H4 H1001:H1048576">
    <cfRule type="expression" dxfId="5" priority="6">
      <formula>$H1="Entregue"</formula>
    </cfRule>
  </conditionalFormatting>
  <conditionalFormatting sqref="H1:H4 H1001:H1048576">
    <cfRule type="expression" dxfId="4" priority="5">
      <formula>$H1="Próx. Troca"</formula>
    </cfRule>
  </conditionalFormatting>
  <conditionalFormatting sqref="H1:H4 H1001:H1048576">
    <cfRule type="expression" dxfId="3" priority="4">
      <formula>$H1="Devolvido"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904BF-A257-4623-9EB7-F6A0612C8513}">
  <sheetPr>
    <tabColor theme="5" tint="0.79998168889431442"/>
  </sheetPr>
  <dimension ref="B1:H4"/>
  <sheetViews>
    <sheetView showGridLines="0" workbookViewId="0">
      <selection activeCell="J3" sqref="J3"/>
    </sheetView>
  </sheetViews>
  <sheetFormatPr defaultRowHeight="15"/>
  <cols>
    <col min="1" max="1" width="4" customWidth="1"/>
    <col min="2" max="2" width="22.85546875" customWidth="1"/>
    <col min="5" max="5" width="12.42578125" bestFit="1" customWidth="1"/>
    <col min="6" max="6" width="15.28515625" bestFit="1" customWidth="1"/>
    <col min="7" max="7" width="10.5703125" bestFit="1" customWidth="1"/>
  </cols>
  <sheetData>
    <row r="1" spans="2:8">
      <c r="B1" s="12" t="s">
        <v>125</v>
      </c>
    </row>
    <row r="2" spans="2:8">
      <c r="B2" s="27" t="s">
        <v>126</v>
      </c>
    </row>
    <row r="4" spans="2:8">
      <c r="B4" s="14" t="s">
        <v>122</v>
      </c>
      <c r="C4" s="14" t="s">
        <v>110</v>
      </c>
      <c r="D4" s="14" t="s">
        <v>123</v>
      </c>
      <c r="E4" s="14" t="s">
        <v>97</v>
      </c>
      <c r="F4" s="14" t="s">
        <v>98</v>
      </c>
      <c r="G4" s="14" t="s">
        <v>124</v>
      </c>
      <c r="H4" s="14" t="s">
        <v>3</v>
      </c>
    </row>
  </sheetData>
  <conditionalFormatting sqref="H4">
    <cfRule type="expression" dxfId="2" priority="3">
      <formula>$H4="Entregue"</formula>
    </cfRule>
  </conditionalFormatting>
  <conditionalFormatting sqref="H4">
    <cfRule type="expression" dxfId="1" priority="2">
      <formula>$H4="Próx. Troca"</formula>
    </cfRule>
  </conditionalFormatting>
  <conditionalFormatting sqref="H4">
    <cfRule type="expression" dxfId="0" priority="1">
      <formula>$H4="Devolvido"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CD4CA-7FBB-41E6-BE91-74ABABFB2E59}">
  <sheetPr>
    <tabColor theme="5" tint="0.79998168889431442"/>
  </sheetPr>
  <dimension ref="B1:D4"/>
  <sheetViews>
    <sheetView showGridLines="0" tabSelected="1" workbookViewId="0">
      <selection activeCell="F6" sqref="F6"/>
    </sheetView>
  </sheetViews>
  <sheetFormatPr defaultRowHeight="15"/>
  <cols>
    <col min="1" max="1" width="4.140625" customWidth="1"/>
    <col min="2" max="2" width="16.42578125" customWidth="1"/>
    <col min="3" max="3" width="11.42578125" customWidth="1"/>
  </cols>
  <sheetData>
    <row r="1" spans="2:4">
      <c r="B1" s="12" t="s">
        <v>127</v>
      </c>
    </row>
    <row r="2" spans="2:4">
      <c r="B2" s="27" t="s">
        <v>126</v>
      </c>
    </row>
    <row r="4" spans="2:4">
      <c r="B4" s="14" t="s">
        <v>122</v>
      </c>
      <c r="C4" s="14" t="s">
        <v>128</v>
      </c>
      <c r="D4" s="14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CMVVMUZ7FDUZBNC36JBICJ6FFJHH36DU:ms-officescript%3A%2F%2Fonedrive_business_sharinglink%2Fu!aHR0cHM6Ly9hZm9ubGluZS1teS5zaGFyZXBvaW50LmNvbS86dTovZy9wZXJzb25hbC9lbGl6YV93b2xsaW5nZXJfYWZyeV9jb20vRVQ4bzZaQzBXX0pDZ1NmRktrNTktSFFCd1JoYnhLLTdqN2tMVk9jUHgxMjM5dw"/>
  <scriptId xmlns="" id="ms-officescript%3A%2F%2Fonedrive_business_itemlink%2F01CMVVMU4D6AHW23IXJ5BILZARYXE6MABP:ms-officescript%3A%2F%2Fonedrive_business_sharinglink%2Fu!aHR0cHM6Ly9hZm9ubGluZS1teS5zaGFyZXBvaW50LmNvbS86dTovZy9wZXJzb25hbC9lbGl6YV93b2xsaW5nZXJfYWZyeV9jb20vRVlQd0QyMXRGMDlDaGVRUnhjbm1BQzhCNXlzMmtyMW5BdHo5XzlVMU9nbjlZZw"/>
  <scriptId xmlns="" id="ms-officescript%3A%2F%2Fonedrive_business_itemlink%2F01CMVVMUY52Q5G4JPY5ZBYYIKKMD5STU3T:ms-officescript%3A%2F%2Fonedrive_business_sharinglink%2Fu!aHR0cHM6Ly9hZm9ubGluZS1teS5zaGFyZXBvaW50LmNvbS86dTovZy9wZXJzb25hbC9lbGl6YV93b2xsaW5nZXJfYWZyeV9jb20vRVIzVU9tNGwtTzVEakNGS1lQc3AwM01CRVpPcUVFLUdSTnVLejktNmM0SkFuUQ"/>
</scriptIds>
</file>

<file path=customXml/itemProps1.xml><?xml version="1.0" encoding="utf-8"?>
<ds:datastoreItem xmlns:ds="http://schemas.openxmlformats.org/officeDocument/2006/customXml" ds:itemID="{92ABC976-701D-4818-9A6F-F0AE33BEBE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Eliza Wollinger</cp:lastModifiedBy>
  <cp:revision/>
  <dcterms:created xsi:type="dcterms:W3CDTF">2025-10-15T12:16:26Z</dcterms:created>
  <dcterms:modified xsi:type="dcterms:W3CDTF">2025-11-04T19:05:04Z</dcterms:modified>
  <cp:category/>
  <cp:contentStatus/>
</cp:coreProperties>
</file>